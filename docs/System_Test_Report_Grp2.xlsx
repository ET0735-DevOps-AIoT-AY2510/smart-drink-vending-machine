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CE927282-F83C-4A97-8219-9FC28F3D5F6D}" xr6:coauthVersionLast="47" xr6:coauthVersionMax="47" xr10:uidLastSave="{00000000-0000-0000-0000-000000000000}"/>
  <bookViews>
    <workbookView xWindow="6960" yWindow="7200" windowWidth="28800" windowHeight="15345" activeTab="1" xr2:uid="{00000000-000D-0000-FFFF-FFFF00000000}"/>
  </bookViews>
  <sheets>
    <sheet name="Overall Test Report" sheetId="2" r:id="rId1"/>
    <sheet name="Test Cases &amp; Results" sheetId="1" r:id="rId2"/>
    <sheet name="Enum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  <c r="C3" i="2" l="1"/>
</calcChain>
</file>

<file path=xl/sharedStrings.xml><?xml version="1.0" encoding="utf-8"?>
<sst xmlns="http://schemas.openxmlformats.org/spreadsheetml/2006/main" count="516" uniqueCount="293">
  <si>
    <t>Total Test Cases</t>
  </si>
  <si>
    <t xml:space="preserve">Passed </t>
  </si>
  <si>
    <t>Failed</t>
  </si>
  <si>
    <t>Not Tested</t>
  </si>
  <si>
    <t>TestCase_ID</t>
  </si>
  <si>
    <t>Requirement_ID</t>
  </si>
  <si>
    <t>Priority</t>
  </si>
  <si>
    <t>Description/Test Summary</t>
  </si>
  <si>
    <t>Pre-Condition</t>
  </si>
  <si>
    <t>Test Steps</t>
  </si>
  <si>
    <t>Expected Result</t>
  </si>
  <si>
    <t>Actual Result</t>
  </si>
  <si>
    <t>Test Result</t>
  </si>
  <si>
    <t>Mid Impact</t>
  </si>
  <si>
    <t>Pass</t>
  </si>
  <si>
    <t>Fail</t>
  </si>
  <si>
    <t>High Impact</t>
  </si>
  <si>
    <t>Low Impact</t>
  </si>
  <si>
    <t>REQ-1</t>
  </si>
  <si>
    <t>REQ-2</t>
  </si>
  <si>
    <t>REQ-3</t>
  </si>
  <si>
    <t>REQ-4</t>
  </si>
  <si>
    <t>REQ-5</t>
  </si>
  <si>
    <t>REQ-6</t>
  </si>
  <si>
    <t>REQ-7</t>
  </si>
  <si>
    <t>REQ-8</t>
  </si>
  <si>
    <t>REQ-9</t>
  </si>
  <si>
    <t>REQ-10</t>
  </si>
  <si>
    <t>REQ-11</t>
  </si>
  <si>
    <t>REQ-12</t>
  </si>
  <si>
    <t>REQ-13</t>
  </si>
  <si>
    <t>REQ-14</t>
  </si>
  <si>
    <t>REQ-15</t>
  </si>
  <si>
    <t>REQ-16</t>
  </si>
  <si>
    <t>REQ-17</t>
  </si>
  <si>
    <t>REQ-18</t>
  </si>
  <si>
    <t>REQ-19</t>
  </si>
  <si>
    <t>Test Type</t>
  </si>
  <si>
    <t>Physical</t>
  </si>
  <si>
    <t>Vending machine powered on</t>
  </si>
  <si>
    <t>Press ‘#’</t>
  </si>
  <si>
    <t>LCD displays “Welcome, please” on line 1 and “select a drink” on line 2 upon startup</t>
  </si>
  <si>
    <t>Power on vending machine</t>
  </si>
  <si>
    <t>LCD shows welcome message</t>
  </si>
  <si>
    <t>Numeric keys display corresponding numbers on LCD</t>
  </si>
  <si>
    <t>Machine started</t>
  </si>
  <si>
    <t>Press number keys</t>
  </si>
  <si>
    <t>Numbers appear on LCD</t>
  </si>
  <si>
    <t>Number input present</t>
  </si>
  <si>
    <t>Show “Invalid, please” and “try again” if drink not in database</t>
  </si>
  <si>
    <t>Invalid drink number entered</t>
  </si>
  <si>
    <t>LCD shows invalid drink message</t>
  </si>
  <si>
    <t>Show “Drink out” and “of stock” if no stock available</t>
  </si>
  <si>
    <t>Drink exists, stock=0</t>
  </si>
  <si>
    <t>LCD shows out-of-stock message</t>
  </si>
  <si>
    <t>Show drink name, price, and payment options if stock available</t>
  </si>
  <si>
    <t>Drink exists and in stock</t>
  </si>
  <si>
    <t>LCD shows drink info and payment choices</t>
  </si>
  <si>
    <t>Return to homescreen after 15 seconds inactivity</t>
  </si>
  <si>
    <t>Screen not home</t>
  </si>
  <si>
    <t>Wait 15 seconds idle</t>
  </si>
  <si>
    <t>Return to homescreen</t>
  </si>
  <si>
    <t>Press ‘*’ at payment screen returns to homescreen</t>
  </si>
  <si>
    <t>Payment screen active</t>
  </si>
  <si>
    <t>Press ‘*’</t>
  </si>
  <si>
    <t>Homescreen displayed</t>
  </si>
  <si>
    <t>Press ‘#’ with no digits starts barcode scanning</t>
  </si>
  <si>
    <t>LCD empty</t>
  </si>
  <si>
    <t>Camera scans for barcode</t>
  </si>
  <si>
    <t>After Card Payment selected, show drink name, price, and “Please tap card”</t>
  </si>
  <si>
    <t>Card payment chosen</t>
  </si>
  <si>
    <t>Select Card Payment</t>
  </si>
  <si>
    <t>LCD shows tap prompt</t>
  </si>
  <si>
    <t>Show “Card declined” if payment fails</t>
  </si>
  <si>
    <t>Card payment in progress</t>
  </si>
  <si>
    <t>Tap declined card</t>
  </si>
  <si>
    <t>Decline message shown</t>
  </si>
  <si>
    <t>Show “Payment Success” if payment accepted</t>
  </si>
  <si>
    <t>Tap accepted card</t>
  </si>
  <si>
    <t>Success message shown</t>
  </si>
  <si>
    <t>Pressing ‘*’ during Card Payment returns to payment options</t>
  </si>
  <si>
    <t>Card payment screen active</t>
  </si>
  <si>
    <t>Payment options screen shown</t>
  </si>
  <si>
    <t>Return to homescreen after 15 seconds idle in Card Payment</t>
  </si>
  <si>
    <t>Idle 15 seconds</t>
  </si>
  <si>
    <t>After QR Payment selected, show drink name, price, “Show QR Code”</t>
  </si>
  <si>
    <t>QR code payment chosen</t>
  </si>
  <si>
    <t>Select QR Payment</t>
  </si>
  <si>
    <t>LCD shows QR prompt</t>
  </si>
  <si>
    <t>Camera scans every 3s for up to 3 attempts if no QR detected</t>
  </si>
  <si>
    <t>QR payment active</t>
  </si>
  <si>
    <t>Do not show QR code</t>
  </si>
  <si>
    <t>3 scan attempts occur</t>
  </si>
  <si>
    <t>Show “Nth detected” and “please try again” if no QR detected</t>
  </si>
  <si>
    <t>No QR code detected</t>
  </si>
  <si>
    <t>Wait for scan attempts</t>
  </si>
  <si>
    <t>LCD shows no detection message</t>
  </si>
  <si>
    <t>Show “Invalid Code” if QR invalid</t>
  </si>
  <si>
    <t>Invalid QR shown</t>
  </si>
  <si>
    <t>Show invalid QR</t>
  </si>
  <si>
    <t>Invalid message displayed</t>
  </si>
  <si>
    <t>Show “Payment Success” if QR valid</t>
  </si>
  <si>
    <t>Valid QR shown</t>
  </si>
  <si>
    <t>Show valid QR</t>
  </si>
  <si>
    <t>Success message displayed</t>
  </si>
  <si>
    <t>REQ-22</t>
  </si>
  <si>
    <t>Return to homescreen after 15 seconds inactivity during QR Payment</t>
  </si>
  <si>
    <t>REQ-23</t>
  </si>
  <si>
    <t>Press ‘*’ during QR Payment returns to payment options</t>
  </si>
  <si>
    <t>Payment options displayed</t>
  </si>
  <si>
    <t>REQ-24</t>
  </si>
  <si>
    <t>Email “Temperature is above 10°C” if temp &gt;10°C</t>
  </si>
  <si>
    <t>Machine running</t>
  </si>
  <si>
    <t>Raise temp &gt;10°C</t>
  </si>
  <si>
    <t>Email alert sent</t>
  </si>
  <si>
    <t>REQ-25</t>
  </si>
  <si>
    <t>Disable purchases, blink LED, send email if temp ≥20°C</t>
  </si>
  <si>
    <t>Raise temp ≥20°C</t>
  </si>
  <si>
    <t>LCD shows out-of-order, LED blinks, email sent</t>
  </si>
  <si>
    <t>REQ-26</t>
  </si>
  <si>
    <t>Prevent purchases and redemptions when temp ≥20°C</t>
  </si>
  <si>
    <t>Temp ≥20°C</t>
  </si>
  <si>
    <t>Attempt purchase</t>
  </si>
  <si>
    <t>Purchase blocked</t>
  </si>
  <si>
    <t>REQ-27</t>
  </si>
  <si>
    <t>Allow ongoing transaction despite temp ≥20°C until idle 15s</t>
  </si>
  <si>
    <t>Temp rises during use</t>
  </si>
  <si>
    <t>Interact with machine</t>
  </si>
  <si>
    <t>Transaction continues</t>
  </si>
  <si>
    <t>REQ-28</t>
  </si>
  <si>
    <t>Monitor temperature continuously</t>
  </si>
  <si>
    <t>Check logs</t>
  </si>
  <si>
    <t>Continuous monitoring works</t>
  </si>
  <si>
    <t>REQ-29</t>
  </si>
  <si>
    <t>Show “Dispensing” and drink name after payment</t>
  </si>
  <si>
    <t>Payment done</t>
  </si>
  <si>
    <t>Pay for drink</t>
  </si>
  <si>
    <t>LCD shows dispensing status</t>
  </si>
  <si>
    <t>REQ-30</t>
  </si>
  <si>
    <t>DC motor pushes drink to collection after payment</t>
  </si>
  <si>
    <t>Drink dispensed</t>
  </si>
  <si>
    <t>REQ-31</t>
  </si>
  <si>
    <t>Stock reduced by 1 in system after dispensing</t>
  </si>
  <si>
    <t>Dispense drink</t>
  </si>
  <si>
    <t>Stock reduced</t>
  </si>
  <si>
    <t>REQ-32</t>
  </si>
  <si>
    <t>Ultrasonic sensor measures stock level by distance</t>
  </si>
  <si>
    <t>Observe sensor</t>
  </si>
  <si>
    <t>Stock reading accurate</t>
  </si>
  <si>
    <t>REQ-33</t>
  </si>
  <si>
    <t>Correct passcode disables burglar system</t>
  </si>
  <si>
    <t>Enter admin passcode</t>
  </si>
  <si>
    <t>Burglar system disabled</t>
  </si>
  <si>
    <t>REQ-34</t>
  </si>
  <si>
    <t>Closing door reactivates burglar system</t>
  </si>
  <si>
    <t>Door closed</t>
  </si>
  <si>
    <t>Close door</t>
  </si>
  <si>
    <t>Burglar system active</t>
  </si>
  <si>
    <t>REQ-35</t>
  </si>
  <si>
    <t>If door open &gt;3min, buzzer beeps, LCD shows “Still there?”</t>
  </si>
  <si>
    <t>Door open</t>
  </si>
  <si>
    <t>Wait 3min</t>
  </si>
  <si>
    <t>Alarm and message triggered</t>
  </si>
  <si>
    <t>REQ-36</t>
  </si>
  <si>
    <t>Alarm stops if door closed or key pressed</t>
  </si>
  <si>
    <t>Alarm active</t>
  </si>
  <si>
    <t>Close door or press key</t>
  </si>
  <si>
    <t>Alarm stops</t>
  </si>
  <si>
    <t>REQ-37</t>
  </si>
  <si>
    <t>If alarm runs 15s, servo turns door to closed position</t>
  </si>
  <si>
    <t>Wait 15s</t>
  </si>
  <si>
    <t>Servo closes door</t>
  </si>
  <si>
    <t>REQ-38</t>
  </si>
  <si>
    <t>Closing door displays “Locking Door” and closes</t>
  </si>
  <si>
    <t>LCD shows locking message</t>
  </si>
  <si>
    <t>REQ-63</t>
  </si>
  <si>
    <t>Potentiometer adjusts 3min timer up to 20min</t>
  </si>
  <si>
    <t>Potentiometer accessible</t>
  </si>
  <si>
    <t>Adjust potentiometer</t>
  </si>
  <si>
    <t>Timer changes</t>
  </si>
  <si>
    <t>REQ-39</t>
  </si>
  <si>
    <t>Email alert if stock &lt;5</t>
  </si>
  <si>
    <t>Reduce stock below 5</t>
  </si>
  <si>
    <t>Email sent</t>
  </si>
  <si>
    <t>REQ-41</t>
  </si>
  <si>
    <t>If internal &lt; monitored, send jam alert and LCD shows “Dispense failed”</t>
  </si>
  <si>
    <t>Stock mismatch (jam)</t>
  </si>
  <si>
    <t>Trigger jam</t>
  </si>
  <si>
    <t>Email sent and LCD updated</t>
  </si>
  <si>
    <t>REQ-42</t>
  </si>
  <si>
    <t>If internal &gt; monitored, send “Extra drink dispensed” alert</t>
  </si>
  <si>
    <t>Stock mismatch (extra dispense)</t>
  </si>
  <si>
    <t>Trigger extra dispense</t>
  </si>
  <si>
    <t>REQ-43</t>
  </si>
  <si>
    <t>Forced door opening triggers safety protocols</t>
  </si>
  <si>
    <t>No passcode entered</t>
  </si>
  <si>
    <t>Pry door</t>
  </si>
  <si>
    <t>Safety protocols activate</t>
  </si>
  <si>
    <t>REQ-44</t>
  </si>
  <si>
    <t>Forced door opening triggers buzzer, LED, camera capture, and email</t>
  </si>
  <si>
    <t>Burglar detection active</t>
  </si>
  <si>
    <t>Alarm, capture, and email occur</t>
  </si>
  <si>
    <t>REQ-64</t>
  </si>
  <si>
    <t>Shaking triggers burglar detection via accelerometer</t>
  </si>
  <si>
    <t>Shake machine</t>
  </si>
  <si>
    <t>Alarm and capture occur</t>
  </si>
  <si>
    <t>REQ-45</t>
  </si>
  <si>
    <t>Leak detection sends email, disables purchases, blinks LED</t>
  </si>
  <si>
    <t>Leak detected</t>
  </si>
  <si>
    <t>Spill liquid</t>
  </si>
  <si>
    <t>Email sent, LCD out-of-order, LED blinks</t>
  </si>
  <si>
    <t>REQ-46</t>
  </si>
  <si>
    <t>Allow transaction during leak if active, block after idle 15s</t>
  </si>
  <si>
    <t>Transaction allowed, then blocked after idle</t>
  </si>
  <si>
    <t>REQ-47</t>
  </si>
  <si>
    <t>Moisture monitored continuously</t>
  </si>
  <si>
    <t>Observe logs</t>
  </si>
  <si>
    <t>REQ-48</t>
  </si>
  <si>
    <t>Homepage shows Login, Admin Login, and Sign Up buttons</t>
  </si>
  <si>
    <t>App open</t>
  </si>
  <si>
    <t>Open homepage</t>
  </si>
  <si>
    <t>Buttons displayed</t>
  </si>
  <si>
    <t>REQ-49</t>
  </si>
  <si>
    <t>Sign Up has Username, Password fields and Create button</t>
  </si>
  <si>
    <t>On Sign Up page</t>
  </si>
  <si>
    <t>Check page elements</t>
  </si>
  <si>
    <t>Fields and button present</t>
  </si>
  <si>
    <t>REQ-50</t>
  </si>
  <si>
    <t>Show error if Username or Password blank on create</t>
  </si>
  <si>
    <t>Leave field blank, click Create</t>
  </si>
  <si>
    <t>Error shown</t>
  </si>
  <si>
    <t>REQ-51</t>
  </si>
  <si>
    <t>Show error if Username already exists</t>
  </si>
  <si>
    <t>Existing account present</t>
  </si>
  <si>
    <t>Enter duplicate Username</t>
  </si>
  <si>
    <t>REQ-52</t>
  </si>
  <si>
    <t>Create account and log in automatically if valid</t>
  </si>
  <si>
    <t>Unique Username &amp; Password</t>
  </si>
  <si>
    <t>Click Create</t>
  </si>
  <si>
    <t>Account created, logged in</t>
  </si>
  <si>
    <t>REQ-53</t>
  </si>
  <si>
    <t>Login has Username, Password fields and Enter button</t>
  </si>
  <si>
    <t>On Login page</t>
  </si>
  <si>
    <t>Check elements</t>
  </si>
  <si>
    <t>REQ-54</t>
  </si>
  <si>
    <t>Show error if Username/Password wrong</t>
  </si>
  <si>
    <t>Wrong credentials</t>
  </si>
  <si>
    <t>Click Enter</t>
  </si>
  <si>
    <t>REQ-55</t>
  </si>
  <si>
    <t>View real-time drink menu and purchase button</t>
  </si>
  <si>
    <t>Logged in</t>
  </si>
  <si>
    <t>Open drink menu</t>
  </si>
  <si>
    <t>Menu and purchase available</t>
  </si>
  <si>
    <t>REQ-56</t>
  </si>
  <si>
    <t>Generate 8-digit code and barcode after payment</t>
  </si>
  <si>
    <t>Complete purchase</t>
  </si>
  <si>
    <t>Code generated</t>
  </si>
  <si>
    <t>REQ-57</t>
  </si>
  <si>
    <t>Increase reserved stock after purchase</t>
  </si>
  <si>
    <t>Purchase complete</t>
  </si>
  <si>
    <t>Check inventory</t>
  </si>
  <si>
    <t>Reserved stock increased</t>
  </si>
  <si>
    <t>After code used, delete it and adjust stock</t>
  </si>
  <si>
    <t>Code valid and used</t>
  </si>
  <si>
    <t>Redeem drink</t>
  </si>
  <si>
    <t>Code deleted, stock updated</t>
  </si>
  <si>
    <t>REQ-58</t>
  </si>
  <si>
    <t>Admin login shows passcode and barcode</t>
  </si>
  <si>
    <t>Admin logged in</t>
  </si>
  <si>
    <t>View dashboard</t>
  </si>
  <si>
    <t>Passcode and barcode shown</t>
  </si>
  <si>
    <t>REQ-59</t>
  </si>
  <si>
    <t>Admin sees actual, reserved, and physical stock and can adjust</t>
  </si>
  <si>
    <t>View stock panel</t>
  </si>
  <si>
    <t>Stock displayed, editable</t>
  </si>
  <si>
    <t>REQ-60</t>
  </si>
  <si>
    <t>Admin can add/remove alert emails</t>
  </si>
  <si>
    <t>Manage emails</t>
  </si>
  <si>
    <t>Email list updated</t>
  </si>
  <si>
    <t>REQ-61</t>
  </si>
  <si>
    <t>Show login button top right when logged in</t>
  </si>
  <si>
    <t>User logged in</t>
  </si>
  <si>
    <t>Check UI</t>
  </si>
  <si>
    <t>Login button shown</t>
  </si>
  <si>
    <t>REQ-62</t>
  </si>
  <si>
    <t>Redirect to login if accessing drink page while logged out</t>
  </si>
  <si>
    <t>User logged out</t>
  </si>
  <si>
    <t>Try to access drinks</t>
  </si>
  <si>
    <t>Redirect to login</t>
  </si>
  <si>
    <t>Physical+Pytest</t>
  </si>
  <si>
    <t>Physical+pytest</t>
  </si>
  <si>
    <t>Press ‘#’ confirms input and checks for drink</t>
  </si>
  <si>
    <t>System validates drink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</si>
</sst>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quotePrefix="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Overall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15-7D4E-8D76-89EEF6E3E1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15-7D4E-8D76-89EEF6E3E1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15-7D4E-8D76-89EEF6E3E121}"/>
              </c:ext>
            </c:extLst>
          </c:dPt>
          <c:cat>
            <c:strRef>
              <c:f>'Overall Test Report'!$B$4:$B$6</c:f>
              <c:strCache>
                <c:ptCount val="3"/>
                <c:pt idx="0">
                  <c:v>Passed </c:v>
                </c:pt>
                <c:pt idx="1">
                  <c:v>Failed</c:v>
                </c:pt>
                <c:pt idx="2">
                  <c:v>Not Tested</c:v>
                </c:pt>
              </c:strCache>
            </c:strRef>
          </c:cat>
          <c:val>
            <c:numRef>
              <c:f>'Overall Test Report'!$C$4:$C$6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5-3948-8FEF-E80B4437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65857392825895"/>
          <c:y val="0.8524300087489064"/>
          <c:w val="0.4554604111986002"/>
          <c:h val="0.1197922134733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820963</xdr:colOff>
      <xdr:row>8</xdr:row>
      <xdr:rowOff>84364</xdr:rowOff>
    </xdr:from>
    <xdr:to>
      <xdr:col>6</xdr:col>
      <xdr:colOff>181429</xdr:colOff>
      <xdr:row>23</xdr:row>
      <xdr:rowOff>99785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51DD0-30D4-0A41-BB24-6502CEBBA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6"/>
  <sheetViews>
    <sheetView zoomScale="129" workbookViewId="0">
      <selection activeCell="C3" sqref="C3"/>
    </sheetView>
  </sheetViews>
  <sheetFormatPr defaultColWidth="11.42578125" defaultRowHeight="15" x14ac:dyDescent="0.25"/>
  <cols>
    <col min="2" max="2" width="15.28515625" bestFit="1" customWidth="1"/>
  </cols>
  <sheetData>
    <row r="3" spans="2:3" x14ac:dyDescent="0.25">
      <c r="B3" s="2" t="s">
        <v>0</v>
      </c>
      <c r="C3" s="6">
        <f>COUNTIF('Test Cases &amp; Results'!A3:A67, "&lt;&gt;")</f>
        <v>62</v>
      </c>
    </row>
    <row r="4" spans="2:3" x14ac:dyDescent="0.25">
      <c r="B4" s="3" t="s">
        <v>1</v>
      </c>
      <c r="C4" s="6">
        <f>COUNTIF('Test Cases &amp; Results'!J3:J69, "Pass")</f>
        <v>1</v>
      </c>
    </row>
    <row r="5" spans="2:3" x14ac:dyDescent="0.25">
      <c r="B5" s="4" t="s">
        <v>2</v>
      </c>
      <c r="C5" s="6">
        <f>COUNTIF('Test Cases &amp; Results'!J3:J69, "Fail")</f>
        <v>0</v>
      </c>
    </row>
    <row r="6" spans="2:3" x14ac:dyDescent="0.25">
      <c r="B6" s="5" t="s">
        <v>3</v>
      </c>
      <c r="C6" s="6">
        <f>COUNTIF('Test Cases &amp; Results'!J3:J69, "Not Tested")</f>
        <v>61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4"/>
  <sheetViews>
    <sheetView tabSelected="1" zoomScale="130" zoomScaleNormal="130" workbookViewId="0">
      <selection activeCell="I3" sqref="I3"/>
    </sheetView>
  </sheetViews>
  <sheetFormatPr defaultColWidth="8.85546875" defaultRowHeight="15" x14ac:dyDescent="0.25"/>
  <cols>
    <col min="1" max="1" width="11.28515625" customWidth="1"/>
    <col min="2" max="2" width="14" hidden="1" customWidth="1"/>
    <col min="3" max="3" width="15.7109375" bestFit="1" customWidth="1"/>
    <col min="4" max="4" width="15.7109375" customWidth="1"/>
    <col min="5" max="5" width="20.5703125" customWidth="1"/>
    <col min="6" max="6" width="28.140625" customWidth="1"/>
    <col min="7" max="7" width="21.7109375" customWidth="1"/>
    <col min="8" max="8" width="25.28515625" bestFit="1" customWidth="1"/>
    <col min="9" max="9" width="18.5703125" customWidth="1"/>
    <col min="10" max="10" width="12.5703125" style="9" customWidth="1"/>
  </cols>
  <sheetData>
    <row r="2" spans="1:10" ht="30" x14ac:dyDescent="0.25">
      <c r="A2" s="14" t="s">
        <v>4</v>
      </c>
      <c r="B2" s="14" t="s">
        <v>5</v>
      </c>
      <c r="C2" s="14" t="s">
        <v>37</v>
      </c>
      <c r="D2" s="14" t="s">
        <v>6</v>
      </c>
      <c r="E2" s="14" t="s">
        <v>7</v>
      </c>
      <c r="F2" s="14" t="s">
        <v>8</v>
      </c>
      <c r="G2" s="14" t="s">
        <v>9</v>
      </c>
      <c r="H2" s="14" t="s">
        <v>10</v>
      </c>
      <c r="I2" s="12" t="s">
        <v>11</v>
      </c>
      <c r="J2" s="7" t="s">
        <v>12</v>
      </c>
    </row>
    <row r="3" spans="1:10" ht="57" customHeight="1" x14ac:dyDescent="0.25">
      <c r="A3" s="13">
        <v>1</v>
      </c>
      <c r="B3" s="13" t="s">
        <v>18</v>
      </c>
      <c r="C3" s="13" t="s">
        <v>289</v>
      </c>
      <c r="D3" s="13" t="s">
        <v>13</v>
      </c>
      <c r="E3" s="13" t="s">
        <v>41</v>
      </c>
      <c r="F3" s="13" t="s">
        <v>39</v>
      </c>
      <c r="G3" s="13" t="s">
        <v>42</v>
      </c>
      <c r="H3" s="13" t="s">
        <v>43</v>
      </c>
      <c r="I3" s="10"/>
      <c r="J3" s="8" t="s">
        <v>14</v>
      </c>
    </row>
    <row r="4" spans="1:10" ht="45" x14ac:dyDescent="0.25">
      <c r="A4" s="13">
        <v>2</v>
      </c>
      <c r="B4" s="13" t="s">
        <v>19</v>
      </c>
      <c r="C4" s="13" t="s">
        <v>38</v>
      </c>
      <c r="D4" s="13" t="s">
        <v>16</v>
      </c>
      <c r="E4" s="13" t="s">
        <v>44</v>
      </c>
      <c r="F4" s="13" t="s">
        <v>45</v>
      </c>
      <c r="G4" s="13" t="s">
        <v>46</v>
      </c>
      <c r="H4" s="13" t="s">
        <v>47</v>
      </c>
      <c r="I4" s="1"/>
      <c r="J4" s="8" t="s">
        <v>3</v>
      </c>
    </row>
    <row r="5" spans="1:10" ht="45" x14ac:dyDescent="0.25">
      <c r="A5" s="13">
        <v>3</v>
      </c>
      <c r="B5" s="13" t="s">
        <v>20</v>
      </c>
      <c r="C5" s="13" t="s">
        <v>38</v>
      </c>
      <c r="D5" s="13" t="s">
        <v>16</v>
      </c>
      <c r="E5" s="13" t="s">
        <v>291</v>
      </c>
      <c r="F5" s="13" t="s">
        <v>48</v>
      </c>
      <c r="G5" s="13" t="s">
        <v>40</v>
      </c>
      <c r="H5" s="13" t="s">
        <v>292</v>
      </c>
      <c r="I5" s="1"/>
      <c r="J5" s="8" t="s">
        <v>3</v>
      </c>
    </row>
    <row r="6" spans="1:10" ht="60" x14ac:dyDescent="0.25">
      <c r="A6" s="13">
        <v>4</v>
      </c>
      <c r="B6" s="13" t="s">
        <v>21</v>
      </c>
      <c r="C6" s="13" t="s">
        <v>289</v>
      </c>
      <c r="D6" s="13" t="s">
        <v>16</v>
      </c>
      <c r="E6" s="13" t="s">
        <v>49</v>
      </c>
      <c r="F6" s="13" t="s">
        <v>50</v>
      </c>
      <c r="G6" s="13" t="s">
        <v>40</v>
      </c>
      <c r="H6" s="13" t="s">
        <v>51</v>
      </c>
      <c r="I6" s="11"/>
      <c r="J6" s="8" t="s">
        <v>3</v>
      </c>
    </row>
    <row r="7" spans="1:10" ht="45" x14ac:dyDescent="0.25">
      <c r="A7" s="13">
        <v>5</v>
      </c>
      <c r="B7" s="13" t="s">
        <v>22</v>
      </c>
      <c r="C7" s="13" t="s">
        <v>289</v>
      </c>
      <c r="D7" s="13" t="s">
        <v>16</v>
      </c>
      <c r="E7" s="13" t="s">
        <v>52</v>
      </c>
      <c r="F7" s="13" t="s">
        <v>53</v>
      </c>
      <c r="G7" s="13" t="s">
        <v>40</v>
      </c>
      <c r="H7" s="13" t="s">
        <v>54</v>
      </c>
      <c r="I7" s="11"/>
      <c r="J7" s="8" t="s">
        <v>3</v>
      </c>
    </row>
    <row r="8" spans="1:10" ht="60" x14ac:dyDescent="0.25">
      <c r="A8" s="13">
        <v>6</v>
      </c>
      <c r="B8" s="13" t="s">
        <v>23</v>
      </c>
      <c r="C8" s="13" t="s">
        <v>289</v>
      </c>
      <c r="D8" s="13" t="s">
        <v>16</v>
      </c>
      <c r="E8" s="13" t="s">
        <v>55</v>
      </c>
      <c r="F8" s="13" t="s">
        <v>56</v>
      </c>
      <c r="G8" s="13" t="s">
        <v>40</v>
      </c>
      <c r="H8" s="13" t="s">
        <v>57</v>
      </c>
      <c r="I8" s="11"/>
      <c r="J8" s="8" t="s">
        <v>3</v>
      </c>
    </row>
    <row r="9" spans="1:10" ht="45" x14ac:dyDescent="0.25">
      <c r="A9" s="13">
        <v>7</v>
      </c>
      <c r="B9" s="13" t="s">
        <v>24</v>
      </c>
      <c r="C9" s="13" t="s">
        <v>289</v>
      </c>
      <c r="D9" s="13" t="s">
        <v>13</v>
      </c>
      <c r="E9" s="13" t="s">
        <v>58</v>
      </c>
      <c r="F9" s="13" t="s">
        <v>59</v>
      </c>
      <c r="G9" s="13" t="s">
        <v>60</v>
      </c>
      <c r="H9" s="13" t="s">
        <v>61</v>
      </c>
      <c r="I9" s="11"/>
      <c r="J9" s="8" t="s">
        <v>3</v>
      </c>
    </row>
    <row r="10" spans="1:10" ht="45" x14ac:dyDescent="0.25">
      <c r="A10" s="13">
        <v>8</v>
      </c>
      <c r="B10" s="13" t="s">
        <v>25</v>
      </c>
      <c r="C10" s="13" t="s">
        <v>289</v>
      </c>
      <c r="D10" s="13" t="s">
        <v>13</v>
      </c>
      <c r="E10" s="13" t="s">
        <v>62</v>
      </c>
      <c r="F10" s="13" t="s">
        <v>63</v>
      </c>
      <c r="G10" s="13" t="s">
        <v>64</v>
      </c>
      <c r="H10" s="13" t="s">
        <v>65</v>
      </c>
      <c r="I10" s="11"/>
      <c r="J10" s="8" t="s">
        <v>3</v>
      </c>
    </row>
    <row r="11" spans="1:10" ht="45" x14ac:dyDescent="0.25">
      <c r="A11" s="13">
        <v>9</v>
      </c>
      <c r="B11" s="13" t="s">
        <v>26</v>
      </c>
      <c r="C11" s="13" t="s">
        <v>289</v>
      </c>
      <c r="D11" s="13" t="s">
        <v>16</v>
      </c>
      <c r="E11" s="13" t="s">
        <v>66</v>
      </c>
      <c r="F11" s="13" t="s">
        <v>67</v>
      </c>
      <c r="G11" s="13" t="s">
        <v>40</v>
      </c>
      <c r="H11" s="13" t="s">
        <v>68</v>
      </c>
      <c r="I11" s="11"/>
      <c r="J11" s="8" t="s">
        <v>3</v>
      </c>
    </row>
    <row r="12" spans="1:10" ht="60" x14ac:dyDescent="0.25">
      <c r="A12" s="13">
        <v>10</v>
      </c>
      <c r="B12" s="13" t="s">
        <v>27</v>
      </c>
      <c r="C12" s="13" t="s">
        <v>38</v>
      </c>
      <c r="D12" s="13" t="s">
        <v>16</v>
      </c>
      <c r="E12" s="13" t="s">
        <v>69</v>
      </c>
      <c r="F12" s="13" t="s">
        <v>70</v>
      </c>
      <c r="G12" s="13" t="s">
        <v>71</v>
      </c>
      <c r="H12" s="13" t="s">
        <v>72</v>
      </c>
      <c r="I12" s="11"/>
      <c r="J12" s="8" t="s">
        <v>3</v>
      </c>
    </row>
    <row r="13" spans="1:10" ht="30" x14ac:dyDescent="0.25">
      <c r="A13" s="13">
        <v>11</v>
      </c>
      <c r="B13" s="13" t="s">
        <v>28</v>
      </c>
      <c r="C13" s="13" t="s">
        <v>289</v>
      </c>
      <c r="D13" s="13" t="s">
        <v>16</v>
      </c>
      <c r="E13" s="13" t="s">
        <v>73</v>
      </c>
      <c r="F13" s="13" t="s">
        <v>74</v>
      </c>
      <c r="G13" s="13" t="s">
        <v>75</v>
      </c>
      <c r="H13" s="13" t="s">
        <v>76</v>
      </c>
      <c r="I13" s="11"/>
      <c r="J13" s="8" t="s">
        <v>3</v>
      </c>
    </row>
    <row r="14" spans="1:10" ht="45" x14ac:dyDescent="0.25">
      <c r="A14" s="13">
        <v>12</v>
      </c>
      <c r="B14" s="13" t="s">
        <v>29</v>
      </c>
      <c r="C14" s="13" t="s">
        <v>290</v>
      </c>
      <c r="D14" s="13" t="s">
        <v>16</v>
      </c>
      <c r="E14" s="13" t="s">
        <v>77</v>
      </c>
      <c r="F14" s="13" t="s">
        <v>74</v>
      </c>
      <c r="G14" s="13" t="s">
        <v>78</v>
      </c>
      <c r="H14" s="13" t="s">
        <v>79</v>
      </c>
      <c r="I14" s="11"/>
      <c r="J14" s="8" t="s">
        <v>3</v>
      </c>
    </row>
    <row r="15" spans="1:10" ht="45" x14ac:dyDescent="0.25">
      <c r="A15" s="13">
        <v>13</v>
      </c>
      <c r="B15" s="13" t="s">
        <v>30</v>
      </c>
      <c r="C15" s="13" t="s">
        <v>290</v>
      </c>
      <c r="D15" s="13" t="s">
        <v>13</v>
      </c>
      <c r="E15" s="13" t="s">
        <v>80</v>
      </c>
      <c r="F15" s="13" t="s">
        <v>81</v>
      </c>
      <c r="G15" s="13" t="s">
        <v>64</v>
      </c>
      <c r="H15" s="13" t="s">
        <v>82</v>
      </c>
      <c r="I15" s="11"/>
      <c r="J15" s="8" t="s">
        <v>3</v>
      </c>
    </row>
    <row r="16" spans="1:10" ht="60" x14ac:dyDescent="0.25">
      <c r="A16" s="13">
        <v>14</v>
      </c>
      <c r="B16" s="13" t="s">
        <v>31</v>
      </c>
      <c r="C16" s="13" t="s">
        <v>38</v>
      </c>
      <c r="D16" s="13" t="s">
        <v>13</v>
      </c>
      <c r="E16" s="13" t="s">
        <v>83</v>
      </c>
      <c r="F16" s="13" t="s">
        <v>81</v>
      </c>
      <c r="G16" s="13" t="s">
        <v>84</v>
      </c>
      <c r="H16" s="13" t="s">
        <v>65</v>
      </c>
      <c r="I16" s="11"/>
      <c r="J16" s="8" t="s">
        <v>3</v>
      </c>
    </row>
    <row r="17" spans="1:10" ht="60" x14ac:dyDescent="0.25">
      <c r="A17" s="13">
        <v>15</v>
      </c>
      <c r="B17" s="13" t="s">
        <v>32</v>
      </c>
      <c r="C17" s="13" t="s">
        <v>38</v>
      </c>
      <c r="D17" s="13" t="s">
        <v>16</v>
      </c>
      <c r="E17" s="13" t="s">
        <v>85</v>
      </c>
      <c r="F17" s="13" t="s">
        <v>86</v>
      </c>
      <c r="G17" s="13" t="s">
        <v>87</v>
      </c>
      <c r="H17" s="13" t="s">
        <v>88</v>
      </c>
      <c r="I17" s="11"/>
      <c r="J17" s="8" t="s">
        <v>3</v>
      </c>
    </row>
    <row r="18" spans="1:10" ht="60" x14ac:dyDescent="0.25">
      <c r="A18" s="13">
        <v>16</v>
      </c>
      <c r="B18" s="13" t="s">
        <v>33</v>
      </c>
      <c r="C18" s="13" t="s">
        <v>38</v>
      </c>
      <c r="D18" s="13" t="s">
        <v>16</v>
      </c>
      <c r="E18" s="13" t="s">
        <v>89</v>
      </c>
      <c r="F18" s="13" t="s">
        <v>90</v>
      </c>
      <c r="G18" s="13" t="s">
        <v>91</v>
      </c>
      <c r="H18" s="13" t="s">
        <v>92</v>
      </c>
      <c r="I18" s="11"/>
      <c r="J18" s="8" t="s">
        <v>3</v>
      </c>
    </row>
    <row r="19" spans="1:10" ht="45" x14ac:dyDescent="0.25">
      <c r="A19" s="13">
        <v>17</v>
      </c>
      <c r="B19" s="13" t="s">
        <v>34</v>
      </c>
      <c r="C19" s="13" t="s">
        <v>38</v>
      </c>
      <c r="D19" s="13" t="s">
        <v>16</v>
      </c>
      <c r="E19" s="13" t="s">
        <v>93</v>
      </c>
      <c r="F19" s="13" t="s">
        <v>94</v>
      </c>
      <c r="G19" s="13" t="s">
        <v>95</v>
      </c>
      <c r="H19" s="13" t="s">
        <v>96</v>
      </c>
      <c r="I19" s="11"/>
      <c r="J19" s="8" t="s">
        <v>3</v>
      </c>
    </row>
    <row r="20" spans="1:10" ht="30" x14ac:dyDescent="0.25">
      <c r="A20" s="13">
        <v>18</v>
      </c>
      <c r="B20" s="13" t="s">
        <v>35</v>
      </c>
      <c r="C20" s="13" t="s">
        <v>290</v>
      </c>
      <c r="D20" s="13" t="s">
        <v>16</v>
      </c>
      <c r="E20" s="13" t="s">
        <v>97</v>
      </c>
      <c r="F20" s="13" t="s">
        <v>98</v>
      </c>
      <c r="G20" s="13" t="s">
        <v>99</v>
      </c>
      <c r="H20" s="13" t="s">
        <v>100</v>
      </c>
      <c r="I20" s="11"/>
      <c r="J20" s="8" t="s">
        <v>3</v>
      </c>
    </row>
    <row r="21" spans="1:10" ht="30" x14ac:dyDescent="0.25">
      <c r="A21" s="13">
        <v>19</v>
      </c>
      <c r="B21" s="13" t="s">
        <v>36</v>
      </c>
      <c r="C21" s="13" t="s">
        <v>290</v>
      </c>
      <c r="D21" s="13" t="s">
        <v>16</v>
      </c>
      <c r="E21" s="13" t="s">
        <v>101</v>
      </c>
      <c r="F21" s="13" t="s">
        <v>102</v>
      </c>
      <c r="G21" s="13" t="s">
        <v>103</v>
      </c>
      <c r="H21" s="13" t="s">
        <v>104</v>
      </c>
      <c r="I21" s="11"/>
      <c r="J21" s="8" t="s">
        <v>3</v>
      </c>
    </row>
    <row r="22" spans="1:10" ht="60" x14ac:dyDescent="0.25">
      <c r="A22" s="13">
        <v>20</v>
      </c>
      <c r="B22" s="13" t="s">
        <v>105</v>
      </c>
      <c r="C22" s="13" t="s">
        <v>290</v>
      </c>
      <c r="D22" s="13" t="s">
        <v>13</v>
      </c>
      <c r="E22" s="13" t="s">
        <v>106</v>
      </c>
      <c r="F22" s="13" t="s">
        <v>90</v>
      </c>
      <c r="G22" s="13" t="s">
        <v>84</v>
      </c>
      <c r="H22" s="13" t="s">
        <v>65</v>
      </c>
      <c r="I22" s="11"/>
      <c r="J22" s="8" t="s">
        <v>3</v>
      </c>
    </row>
    <row r="23" spans="1:10" ht="45" x14ac:dyDescent="0.25">
      <c r="A23" s="13">
        <v>21</v>
      </c>
      <c r="B23" s="13" t="s">
        <v>107</v>
      </c>
      <c r="C23" s="13" t="s">
        <v>38</v>
      </c>
      <c r="D23" s="13" t="s">
        <v>13</v>
      </c>
      <c r="E23" s="13" t="s">
        <v>108</v>
      </c>
      <c r="F23" s="13" t="s">
        <v>90</v>
      </c>
      <c r="G23" s="13" t="s">
        <v>64</v>
      </c>
      <c r="H23" s="13" t="s">
        <v>109</v>
      </c>
      <c r="I23" s="11"/>
      <c r="J23" s="8" t="s">
        <v>3</v>
      </c>
    </row>
    <row r="24" spans="1:10" ht="45" x14ac:dyDescent="0.25">
      <c r="A24" s="13">
        <v>22</v>
      </c>
      <c r="B24" s="13" t="s">
        <v>110</v>
      </c>
      <c r="C24" s="13" t="s">
        <v>290</v>
      </c>
      <c r="D24" s="13" t="s">
        <v>16</v>
      </c>
      <c r="E24" s="13" t="s">
        <v>111</v>
      </c>
      <c r="F24" s="13" t="s">
        <v>112</v>
      </c>
      <c r="G24" s="13" t="s">
        <v>113</v>
      </c>
      <c r="H24" s="13" t="s">
        <v>114</v>
      </c>
      <c r="I24" s="11"/>
      <c r="J24" s="8" t="s">
        <v>3</v>
      </c>
    </row>
    <row r="25" spans="1:10" ht="45" x14ac:dyDescent="0.25">
      <c r="A25" s="13">
        <v>23</v>
      </c>
      <c r="B25" s="13" t="s">
        <v>115</v>
      </c>
      <c r="C25" s="13" t="s">
        <v>290</v>
      </c>
      <c r="D25" s="13" t="s">
        <v>16</v>
      </c>
      <c r="E25" s="13" t="s">
        <v>116</v>
      </c>
      <c r="F25" s="13" t="s">
        <v>112</v>
      </c>
      <c r="G25" s="13" t="s">
        <v>117</v>
      </c>
      <c r="H25" s="13" t="s">
        <v>118</v>
      </c>
      <c r="I25" s="11"/>
      <c r="J25" s="8" t="s">
        <v>3</v>
      </c>
    </row>
    <row r="26" spans="1:10" ht="45" x14ac:dyDescent="0.25">
      <c r="A26" s="13">
        <v>24</v>
      </c>
      <c r="B26" s="13" t="s">
        <v>119</v>
      </c>
      <c r="C26" s="13" t="s">
        <v>290</v>
      </c>
      <c r="D26" s="13" t="s">
        <v>16</v>
      </c>
      <c r="E26" s="13" t="s">
        <v>120</v>
      </c>
      <c r="F26" s="13" t="s">
        <v>121</v>
      </c>
      <c r="G26" s="13" t="s">
        <v>122</v>
      </c>
      <c r="H26" s="13" t="s">
        <v>123</v>
      </c>
      <c r="I26" s="11"/>
      <c r="J26" s="8" t="s">
        <v>3</v>
      </c>
    </row>
    <row r="27" spans="1:10" ht="60" x14ac:dyDescent="0.25">
      <c r="A27" s="13">
        <v>25</v>
      </c>
      <c r="B27" s="13" t="s">
        <v>124</v>
      </c>
      <c r="C27" s="13" t="s">
        <v>290</v>
      </c>
      <c r="D27" s="13" t="s">
        <v>16</v>
      </c>
      <c r="E27" s="13" t="s">
        <v>125</v>
      </c>
      <c r="F27" s="13" t="s">
        <v>126</v>
      </c>
      <c r="G27" s="13" t="s">
        <v>127</v>
      </c>
      <c r="H27" s="13" t="s">
        <v>128</v>
      </c>
      <c r="I27" s="11"/>
      <c r="J27" s="8" t="s">
        <v>3</v>
      </c>
    </row>
    <row r="28" spans="1:10" ht="30" x14ac:dyDescent="0.25">
      <c r="A28" s="13">
        <v>26</v>
      </c>
      <c r="B28" s="13" t="s">
        <v>129</v>
      </c>
      <c r="C28" s="13" t="s">
        <v>38</v>
      </c>
      <c r="D28" s="13" t="s">
        <v>16</v>
      </c>
      <c r="E28" s="13" t="s">
        <v>130</v>
      </c>
      <c r="F28" s="13" t="s">
        <v>112</v>
      </c>
      <c r="G28" s="13" t="s">
        <v>131</v>
      </c>
      <c r="H28" s="13" t="s">
        <v>132</v>
      </c>
      <c r="I28" s="11"/>
      <c r="J28" s="8" t="s">
        <v>3</v>
      </c>
    </row>
    <row r="29" spans="1:10" ht="45" x14ac:dyDescent="0.25">
      <c r="A29" s="13">
        <v>27</v>
      </c>
      <c r="B29" s="13" t="s">
        <v>133</v>
      </c>
      <c r="C29" s="13" t="s">
        <v>38</v>
      </c>
      <c r="D29" s="13" t="s">
        <v>16</v>
      </c>
      <c r="E29" s="13" t="s">
        <v>134</v>
      </c>
      <c r="F29" s="13" t="s">
        <v>135</v>
      </c>
      <c r="G29" s="13" t="s">
        <v>136</v>
      </c>
      <c r="H29" s="13" t="s">
        <v>137</v>
      </c>
      <c r="I29" s="11"/>
      <c r="J29" s="8" t="s">
        <v>3</v>
      </c>
    </row>
    <row r="30" spans="1:10" ht="45" x14ac:dyDescent="0.25">
      <c r="A30" s="13">
        <v>28</v>
      </c>
      <c r="B30" s="13" t="s">
        <v>138</v>
      </c>
      <c r="C30" s="13" t="s">
        <v>38</v>
      </c>
      <c r="D30" s="13" t="s">
        <v>16</v>
      </c>
      <c r="E30" s="13" t="s">
        <v>139</v>
      </c>
      <c r="F30" s="13" t="s">
        <v>135</v>
      </c>
      <c r="G30" s="13" t="s">
        <v>136</v>
      </c>
      <c r="H30" s="13" t="s">
        <v>140</v>
      </c>
      <c r="I30" s="11"/>
      <c r="J30" s="8" t="s">
        <v>3</v>
      </c>
    </row>
    <row r="31" spans="1:10" ht="45" x14ac:dyDescent="0.25">
      <c r="A31" s="13">
        <v>29</v>
      </c>
      <c r="B31" s="13" t="s">
        <v>141</v>
      </c>
      <c r="C31" s="13" t="s">
        <v>290</v>
      </c>
      <c r="D31" s="13" t="s">
        <v>16</v>
      </c>
      <c r="E31" s="13" t="s">
        <v>142</v>
      </c>
      <c r="F31" s="13" t="s">
        <v>140</v>
      </c>
      <c r="G31" s="13" t="s">
        <v>143</v>
      </c>
      <c r="H31" s="13" t="s">
        <v>144</v>
      </c>
      <c r="I31" s="11"/>
      <c r="J31" s="8" t="s">
        <v>3</v>
      </c>
    </row>
    <row r="32" spans="1:10" ht="45" x14ac:dyDescent="0.25">
      <c r="A32" s="13">
        <v>30</v>
      </c>
      <c r="B32" s="13" t="s">
        <v>149</v>
      </c>
      <c r="C32" s="13" t="s">
        <v>38</v>
      </c>
      <c r="D32" s="13" t="s">
        <v>16</v>
      </c>
      <c r="E32" s="13" t="s">
        <v>150</v>
      </c>
      <c r="F32" s="13" t="s">
        <v>112</v>
      </c>
      <c r="G32" s="13" t="s">
        <v>151</v>
      </c>
      <c r="H32" s="13" t="s">
        <v>152</v>
      </c>
      <c r="I32" s="11"/>
      <c r="J32" s="8" t="s">
        <v>3</v>
      </c>
    </row>
    <row r="33" spans="1:10" ht="45" x14ac:dyDescent="0.25">
      <c r="A33" s="13">
        <v>31</v>
      </c>
      <c r="B33" s="13" t="s">
        <v>153</v>
      </c>
      <c r="C33" s="13" t="s">
        <v>290</v>
      </c>
      <c r="D33" s="13" t="s">
        <v>16</v>
      </c>
      <c r="E33" s="13" t="s">
        <v>154</v>
      </c>
      <c r="F33" s="13" t="s">
        <v>155</v>
      </c>
      <c r="G33" s="13" t="s">
        <v>156</v>
      </c>
      <c r="H33" s="13" t="s">
        <v>157</v>
      </c>
      <c r="I33" s="11"/>
      <c r="J33" s="8" t="s">
        <v>3</v>
      </c>
    </row>
    <row r="34" spans="1:10" ht="45" x14ac:dyDescent="0.25">
      <c r="A34" s="13">
        <v>32</v>
      </c>
      <c r="B34" s="13" t="s">
        <v>158</v>
      </c>
      <c r="C34" s="13" t="s">
        <v>290</v>
      </c>
      <c r="D34" s="13" t="s">
        <v>16</v>
      </c>
      <c r="E34" s="13" t="s">
        <v>159</v>
      </c>
      <c r="F34" s="13" t="s">
        <v>160</v>
      </c>
      <c r="G34" s="13" t="s">
        <v>161</v>
      </c>
      <c r="H34" s="13" t="s">
        <v>162</v>
      </c>
      <c r="I34" s="11"/>
      <c r="J34" s="8" t="s">
        <v>3</v>
      </c>
    </row>
    <row r="35" spans="1:10" ht="30" x14ac:dyDescent="0.25">
      <c r="A35" s="13">
        <v>33</v>
      </c>
      <c r="B35" s="13" t="s">
        <v>163</v>
      </c>
      <c r="C35" s="13" t="s">
        <v>38</v>
      </c>
      <c r="D35" s="13" t="s">
        <v>16</v>
      </c>
      <c r="E35" s="13" t="s">
        <v>164</v>
      </c>
      <c r="F35" s="13" t="s">
        <v>165</v>
      </c>
      <c r="G35" s="13" t="s">
        <v>166</v>
      </c>
      <c r="H35" s="13" t="s">
        <v>167</v>
      </c>
      <c r="I35" s="11"/>
      <c r="J35" s="8" t="s">
        <v>3</v>
      </c>
    </row>
    <row r="36" spans="1:10" ht="45" x14ac:dyDescent="0.25">
      <c r="A36" s="13">
        <v>34</v>
      </c>
      <c r="B36" s="13" t="s">
        <v>168</v>
      </c>
      <c r="C36" s="13" t="s">
        <v>38</v>
      </c>
      <c r="D36" s="13" t="s">
        <v>16</v>
      </c>
      <c r="E36" s="13" t="s">
        <v>169</v>
      </c>
      <c r="F36" s="13" t="s">
        <v>165</v>
      </c>
      <c r="G36" s="13" t="s">
        <v>170</v>
      </c>
      <c r="H36" s="13" t="s">
        <v>171</v>
      </c>
      <c r="I36" s="11"/>
      <c r="J36" s="8" t="s">
        <v>3</v>
      </c>
    </row>
    <row r="37" spans="1:10" ht="45" x14ac:dyDescent="0.25">
      <c r="A37" s="13">
        <v>35</v>
      </c>
      <c r="B37" s="13" t="s">
        <v>172</v>
      </c>
      <c r="C37" s="13" t="s">
        <v>38</v>
      </c>
      <c r="D37" s="13" t="s">
        <v>16</v>
      </c>
      <c r="E37" s="13" t="s">
        <v>173</v>
      </c>
      <c r="F37" s="13" t="s">
        <v>160</v>
      </c>
      <c r="G37" s="13" t="s">
        <v>156</v>
      </c>
      <c r="H37" s="13" t="s">
        <v>174</v>
      </c>
      <c r="I37" s="11"/>
      <c r="J37" s="8" t="s">
        <v>3</v>
      </c>
    </row>
    <row r="38" spans="1:10" ht="45" x14ac:dyDescent="0.25">
      <c r="A38" s="13">
        <v>36</v>
      </c>
      <c r="B38" s="13" t="s">
        <v>145</v>
      </c>
      <c r="C38" s="13" t="s">
        <v>38</v>
      </c>
      <c r="D38" s="13" t="s">
        <v>16</v>
      </c>
      <c r="E38" s="13" t="s">
        <v>146</v>
      </c>
      <c r="F38" s="13" t="s">
        <v>112</v>
      </c>
      <c r="G38" s="13" t="s">
        <v>147</v>
      </c>
      <c r="H38" s="13" t="s">
        <v>148</v>
      </c>
      <c r="I38" s="11"/>
      <c r="J38" s="8" t="s">
        <v>3</v>
      </c>
    </row>
    <row r="39" spans="1:10" x14ac:dyDescent="0.25">
      <c r="A39" s="13">
        <v>37</v>
      </c>
      <c r="B39" s="13" t="s">
        <v>180</v>
      </c>
      <c r="C39" s="13" t="s">
        <v>290</v>
      </c>
      <c r="D39" s="13" t="s">
        <v>13</v>
      </c>
      <c r="E39" s="13" t="s">
        <v>181</v>
      </c>
      <c r="F39" s="13" t="s">
        <v>112</v>
      </c>
      <c r="G39" s="13" t="s">
        <v>182</v>
      </c>
      <c r="H39" s="13" t="s">
        <v>183</v>
      </c>
      <c r="I39" s="11"/>
      <c r="J39" s="8" t="s">
        <v>3</v>
      </c>
    </row>
    <row r="40" spans="1:10" ht="45" x14ac:dyDescent="0.25">
      <c r="A40" s="13">
        <v>38</v>
      </c>
      <c r="B40" s="13" t="s">
        <v>175</v>
      </c>
      <c r="C40" s="13" t="s">
        <v>38</v>
      </c>
      <c r="D40" s="13" t="s">
        <v>17</v>
      </c>
      <c r="E40" s="13" t="s">
        <v>176</v>
      </c>
      <c r="F40" s="13" t="s">
        <v>177</v>
      </c>
      <c r="G40" s="13" t="s">
        <v>178</v>
      </c>
      <c r="H40" s="13" t="s">
        <v>179</v>
      </c>
      <c r="I40" s="11"/>
      <c r="J40" s="8" t="s">
        <v>3</v>
      </c>
    </row>
    <row r="41" spans="1:10" ht="60" x14ac:dyDescent="0.25">
      <c r="A41" s="13">
        <v>39</v>
      </c>
      <c r="B41" s="13" t="s">
        <v>184</v>
      </c>
      <c r="C41" s="13" t="s">
        <v>290</v>
      </c>
      <c r="D41" s="13" t="s">
        <v>16</v>
      </c>
      <c r="E41" s="13" t="s">
        <v>185</v>
      </c>
      <c r="F41" s="13" t="s">
        <v>186</v>
      </c>
      <c r="G41" s="13" t="s">
        <v>187</v>
      </c>
      <c r="H41" s="13" t="s">
        <v>188</v>
      </c>
      <c r="I41" s="11"/>
      <c r="J41" s="8" t="s">
        <v>3</v>
      </c>
    </row>
    <row r="42" spans="1:10" ht="60" x14ac:dyDescent="0.25">
      <c r="A42" s="13">
        <v>40</v>
      </c>
      <c r="B42" s="13" t="s">
        <v>189</v>
      </c>
      <c r="C42" s="13" t="s">
        <v>290</v>
      </c>
      <c r="D42" s="13" t="s">
        <v>16</v>
      </c>
      <c r="E42" s="13" t="s">
        <v>190</v>
      </c>
      <c r="F42" s="13" t="s">
        <v>191</v>
      </c>
      <c r="G42" s="13" t="s">
        <v>192</v>
      </c>
      <c r="H42" s="13" t="s">
        <v>183</v>
      </c>
      <c r="I42" s="11"/>
      <c r="J42" s="8" t="s">
        <v>3</v>
      </c>
    </row>
    <row r="43" spans="1:10" ht="45" x14ac:dyDescent="0.25">
      <c r="A43" s="13">
        <v>41</v>
      </c>
      <c r="B43" s="13" t="s">
        <v>193</v>
      </c>
      <c r="C43" s="13" t="s">
        <v>290</v>
      </c>
      <c r="D43" s="13" t="s">
        <v>16</v>
      </c>
      <c r="E43" s="13" t="s">
        <v>194</v>
      </c>
      <c r="F43" s="13" t="s">
        <v>195</v>
      </c>
      <c r="G43" s="13" t="s">
        <v>196</v>
      </c>
      <c r="H43" s="13" t="s">
        <v>197</v>
      </c>
      <c r="I43" s="11"/>
      <c r="J43" s="8" t="s">
        <v>3</v>
      </c>
    </row>
    <row r="44" spans="1:10" ht="60" x14ac:dyDescent="0.25">
      <c r="A44" s="13">
        <v>42</v>
      </c>
      <c r="B44" s="13" t="s">
        <v>198</v>
      </c>
      <c r="C44" s="13" t="s">
        <v>38</v>
      </c>
      <c r="D44" s="13" t="s">
        <v>16</v>
      </c>
      <c r="E44" s="13" t="s">
        <v>199</v>
      </c>
      <c r="F44" s="13" t="s">
        <v>200</v>
      </c>
      <c r="G44" s="13" t="s">
        <v>196</v>
      </c>
      <c r="H44" s="13" t="s">
        <v>201</v>
      </c>
      <c r="I44" s="11"/>
      <c r="J44" s="8" t="s">
        <v>3</v>
      </c>
    </row>
    <row r="45" spans="1:10" ht="45" x14ac:dyDescent="0.25">
      <c r="A45" s="13">
        <v>43</v>
      </c>
      <c r="B45" s="13" t="s">
        <v>202</v>
      </c>
      <c r="C45" s="13" t="s">
        <v>38</v>
      </c>
      <c r="D45" s="13" t="s">
        <v>16</v>
      </c>
      <c r="E45" s="13" t="s">
        <v>203</v>
      </c>
      <c r="F45" s="13" t="s">
        <v>200</v>
      </c>
      <c r="G45" s="13" t="s">
        <v>204</v>
      </c>
      <c r="H45" s="13" t="s">
        <v>205</v>
      </c>
      <c r="I45" s="11"/>
      <c r="J45" s="8" t="s">
        <v>3</v>
      </c>
    </row>
    <row r="46" spans="1:10" ht="45" x14ac:dyDescent="0.25">
      <c r="A46" s="13">
        <v>44</v>
      </c>
      <c r="B46" s="13" t="s">
        <v>206</v>
      </c>
      <c r="C46" s="13" t="s">
        <v>290</v>
      </c>
      <c r="D46" s="13" t="s">
        <v>16</v>
      </c>
      <c r="E46" s="13" t="s">
        <v>207</v>
      </c>
      <c r="F46" s="13" t="s">
        <v>208</v>
      </c>
      <c r="G46" s="13" t="s">
        <v>209</v>
      </c>
      <c r="H46" s="13" t="s">
        <v>210</v>
      </c>
      <c r="I46" s="11"/>
      <c r="J46" s="8" t="s">
        <v>3</v>
      </c>
    </row>
    <row r="47" spans="1:10" ht="45" x14ac:dyDescent="0.25">
      <c r="A47" s="13">
        <v>45</v>
      </c>
      <c r="B47" s="13" t="s">
        <v>211</v>
      </c>
      <c r="C47" s="13" t="s">
        <v>38</v>
      </c>
      <c r="D47" s="13" t="s">
        <v>16</v>
      </c>
      <c r="E47" s="13" t="s">
        <v>212</v>
      </c>
      <c r="F47" s="13" t="s">
        <v>208</v>
      </c>
      <c r="G47" s="13" t="s">
        <v>127</v>
      </c>
      <c r="H47" s="13" t="s">
        <v>213</v>
      </c>
      <c r="I47" s="11"/>
      <c r="J47" s="8" t="s">
        <v>3</v>
      </c>
    </row>
    <row r="48" spans="1:10" ht="30" x14ac:dyDescent="0.25">
      <c r="A48" s="13">
        <v>46</v>
      </c>
      <c r="B48" s="13" t="s">
        <v>214</v>
      </c>
      <c r="C48" s="13" t="s">
        <v>38</v>
      </c>
      <c r="D48" s="13" t="s">
        <v>16</v>
      </c>
      <c r="E48" s="13" t="s">
        <v>215</v>
      </c>
      <c r="F48" s="13" t="s">
        <v>112</v>
      </c>
      <c r="G48" s="13" t="s">
        <v>216</v>
      </c>
      <c r="H48" s="13" t="s">
        <v>132</v>
      </c>
      <c r="I48" s="11"/>
      <c r="J48" s="8" t="s">
        <v>3</v>
      </c>
    </row>
    <row r="49" spans="1:10" ht="45" x14ac:dyDescent="0.25">
      <c r="A49" s="13">
        <v>47</v>
      </c>
      <c r="B49" s="13" t="s">
        <v>217</v>
      </c>
      <c r="C49" s="13" t="s">
        <v>38</v>
      </c>
      <c r="D49" s="13" t="s">
        <v>17</v>
      </c>
      <c r="E49" s="13" t="s">
        <v>218</v>
      </c>
      <c r="F49" s="13" t="s">
        <v>219</v>
      </c>
      <c r="G49" s="13" t="s">
        <v>220</v>
      </c>
      <c r="H49" s="13" t="s">
        <v>221</v>
      </c>
      <c r="I49" s="11"/>
      <c r="J49" s="8" t="s">
        <v>3</v>
      </c>
    </row>
    <row r="50" spans="1:10" ht="60" x14ac:dyDescent="0.25">
      <c r="A50" s="13">
        <v>48</v>
      </c>
      <c r="B50" s="13" t="s">
        <v>222</v>
      </c>
      <c r="C50" s="13" t="s">
        <v>38</v>
      </c>
      <c r="D50" s="13" t="s">
        <v>17</v>
      </c>
      <c r="E50" s="13" t="s">
        <v>223</v>
      </c>
      <c r="F50" s="13" t="s">
        <v>224</v>
      </c>
      <c r="G50" s="13" t="s">
        <v>225</v>
      </c>
      <c r="H50" s="13" t="s">
        <v>226</v>
      </c>
      <c r="I50" s="11"/>
      <c r="J50" s="8" t="s">
        <v>3</v>
      </c>
    </row>
    <row r="51" spans="1:10" ht="60" x14ac:dyDescent="0.25">
      <c r="A51" s="13">
        <v>49</v>
      </c>
      <c r="B51" s="13" t="s">
        <v>227</v>
      </c>
      <c r="C51" s="13" t="s">
        <v>38</v>
      </c>
      <c r="D51" s="13" t="s">
        <v>13</v>
      </c>
      <c r="E51" s="13" t="s">
        <v>228</v>
      </c>
      <c r="F51" s="13" t="s">
        <v>224</v>
      </c>
      <c r="G51" s="13" t="s">
        <v>229</v>
      </c>
      <c r="H51" s="13" t="s">
        <v>230</v>
      </c>
      <c r="I51" s="11"/>
      <c r="J51" s="8" t="s">
        <v>3</v>
      </c>
    </row>
    <row r="52" spans="1:10" ht="45" x14ac:dyDescent="0.25">
      <c r="A52" s="13">
        <v>50</v>
      </c>
      <c r="B52" s="13" t="s">
        <v>231</v>
      </c>
      <c r="C52" s="13" t="s">
        <v>38</v>
      </c>
      <c r="D52" s="13" t="s">
        <v>13</v>
      </c>
      <c r="E52" s="13" t="s">
        <v>232</v>
      </c>
      <c r="F52" s="13" t="s">
        <v>233</v>
      </c>
      <c r="G52" s="13" t="s">
        <v>234</v>
      </c>
      <c r="H52" s="13" t="s">
        <v>230</v>
      </c>
      <c r="I52" s="11"/>
      <c r="J52" s="8" t="s">
        <v>3</v>
      </c>
    </row>
    <row r="53" spans="1:10" ht="45" x14ac:dyDescent="0.25">
      <c r="A53" s="13">
        <v>51</v>
      </c>
      <c r="B53" s="13" t="s">
        <v>235</v>
      </c>
      <c r="C53" s="13" t="s">
        <v>38</v>
      </c>
      <c r="D53" s="13" t="s">
        <v>13</v>
      </c>
      <c r="E53" s="13" t="s">
        <v>236</v>
      </c>
      <c r="F53" s="13" t="s">
        <v>237</v>
      </c>
      <c r="G53" s="13" t="s">
        <v>238</v>
      </c>
      <c r="H53" s="13" t="s">
        <v>239</v>
      </c>
      <c r="I53" s="11"/>
      <c r="J53" s="8" t="s">
        <v>3</v>
      </c>
    </row>
    <row r="54" spans="1:10" ht="45" x14ac:dyDescent="0.25">
      <c r="A54" s="13">
        <v>52</v>
      </c>
      <c r="B54" s="13" t="s">
        <v>240</v>
      </c>
      <c r="C54" s="13" t="s">
        <v>38</v>
      </c>
      <c r="D54" s="13" t="s">
        <v>17</v>
      </c>
      <c r="E54" s="13" t="s">
        <v>241</v>
      </c>
      <c r="F54" s="13" t="s">
        <v>242</v>
      </c>
      <c r="G54" s="13" t="s">
        <v>243</v>
      </c>
      <c r="H54" s="13" t="s">
        <v>226</v>
      </c>
      <c r="I54" s="11"/>
      <c r="J54" s="8" t="s">
        <v>3</v>
      </c>
    </row>
    <row r="55" spans="1:10" ht="45" x14ac:dyDescent="0.25">
      <c r="A55" s="13">
        <v>53</v>
      </c>
      <c r="B55" s="13" t="s">
        <v>244</v>
      </c>
      <c r="C55" s="13" t="s">
        <v>38</v>
      </c>
      <c r="D55" s="13" t="s">
        <v>13</v>
      </c>
      <c r="E55" s="13" t="s">
        <v>245</v>
      </c>
      <c r="F55" s="13" t="s">
        <v>246</v>
      </c>
      <c r="G55" s="13" t="s">
        <v>247</v>
      </c>
      <c r="H55" s="13" t="s">
        <v>230</v>
      </c>
      <c r="I55" s="11"/>
      <c r="J55" s="8" t="s">
        <v>3</v>
      </c>
    </row>
    <row r="56" spans="1:10" ht="45" x14ac:dyDescent="0.25">
      <c r="A56" s="13">
        <v>54</v>
      </c>
      <c r="B56" s="13" t="s">
        <v>248</v>
      </c>
      <c r="C56" s="13" t="s">
        <v>38</v>
      </c>
      <c r="D56" s="13" t="s">
        <v>16</v>
      </c>
      <c r="E56" s="13" t="s">
        <v>249</v>
      </c>
      <c r="F56" s="13" t="s">
        <v>250</v>
      </c>
      <c r="G56" s="13" t="s">
        <v>251</v>
      </c>
      <c r="H56" s="13" t="s">
        <v>252</v>
      </c>
      <c r="I56" s="11"/>
      <c r="J56" s="8" t="s">
        <v>3</v>
      </c>
    </row>
    <row r="57" spans="1:10" ht="45" x14ac:dyDescent="0.25">
      <c r="A57" s="13">
        <v>55</v>
      </c>
      <c r="B57" s="13" t="s">
        <v>253</v>
      </c>
      <c r="C57" s="13" t="s">
        <v>38</v>
      </c>
      <c r="D57" s="13" t="s">
        <v>16</v>
      </c>
      <c r="E57" s="13" t="s">
        <v>254</v>
      </c>
      <c r="F57" s="13" t="s">
        <v>135</v>
      </c>
      <c r="G57" s="13" t="s">
        <v>255</v>
      </c>
      <c r="H57" s="13" t="s">
        <v>256</v>
      </c>
      <c r="I57" s="11"/>
      <c r="J57" s="8" t="s">
        <v>3</v>
      </c>
    </row>
    <row r="58" spans="1:10" ht="30" x14ac:dyDescent="0.25">
      <c r="A58" s="13">
        <v>56</v>
      </c>
      <c r="B58" s="13" t="s">
        <v>257</v>
      </c>
      <c r="C58" s="13" t="s">
        <v>38</v>
      </c>
      <c r="D58" s="13" t="s">
        <v>16</v>
      </c>
      <c r="E58" s="13" t="s">
        <v>258</v>
      </c>
      <c r="F58" s="13" t="s">
        <v>259</v>
      </c>
      <c r="G58" s="13" t="s">
        <v>260</v>
      </c>
      <c r="H58" s="13" t="s">
        <v>261</v>
      </c>
      <c r="I58" s="11"/>
      <c r="J58" s="8" t="s">
        <v>3</v>
      </c>
    </row>
    <row r="59" spans="1:10" ht="45" x14ac:dyDescent="0.25">
      <c r="A59" s="13">
        <v>57</v>
      </c>
      <c r="B59" s="13" t="s">
        <v>257</v>
      </c>
      <c r="C59" s="13" t="s">
        <v>38</v>
      </c>
      <c r="D59" s="13" t="s">
        <v>16</v>
      </c>
      <c r="E59" s="13" t="s">
        <v>262</v>
      </c>
      <c r="F59" s="13" t="s">
        <v>263</v>
      </c>
      <c r="G59" s="13" t="s">
        <v>264</v>
      </c>
      <c r="H59" s="13" t="s">
        <v>265</v>
      </c>
      <c r="I59" s="11"/>
      <c r="J59" s="8" t="s">
        <v>3</v>
      </c>
    </row>
    <row r="60" spans="1:10" ht="45" x14ac:dyDescent="0.25">
      <c r="A60" s="13">
        <v>58</v>
      </c>
      <c r="B60" s="13" t="s">
        <v>266</v>
      </c>
      <c r="C60" s="13" t="s">
        <v>38</v>
      </c>
      <c r="D60" s="13" t="s">
        <v>17</v>
      </c>
      <c r="E60" s="13" t="s">
        <v>267</v>
      </c>
      <c r="F60" s="13" t="s">
        <v>268</v>
      </c>
      <c r="G60" s="13" t="s">
        <v>269</v>
      </c>
      <c r="H60" s="13" t="s">
        <v>270</v>
      </c>
      <c r="I60" s="11"/>
      <c r="J60" s="8" t="s">
        <v>3</v>
      </c>
    </row>
    <row r="61" spans="1:10" ht="60" x14ac:dyDescent="0.25">
      <c r="A61" s="13">
        <v>59</v>
      </c>
      <c r="B61" s="13" t="s">
        <v>271</v>
      </c>
      <c r="C61" s="13" t="s">
        <v>38</v>
      </c>
      <c r="D61" s="13" t="s">
        <v>13</v>
      </c>
      <c r="E61" s="13" t="s">
        <v>272</v>
      </c>
      <c r="F61" s="13" t="s">
        <v>268</v>
      </c>
      <c r="G61" s="13" t="s">
        <v>273</v>
      </c>
      <c r="H61" s="13" t="s">
        <v>274</v>
      </c>
      <c r="I61" s="11"/>
      <c r="J61" s="8" t="s">
        <v>3</v>
      </c>
    </row>
    <row r="62" spans="1:10" ht="45" x14ac:dyDescent="0.25">
      <c r="A62" s="13">
        <v>60</v>
      </c>
      <c r="B62" s="13" t="s">
        <v>275</v>
      </c>
      <c r="C62" s="13" t="s">
        <v>38</v>
      </c>
      <c r="D62" s="13" t="s">
        <v>17</v>
      </c>
      <c r="E62" s="13" t="s">
        <v>276</v>
      </c>
      <c r="F62" s="13" t="s">
        <v>268</v>
      </c>
      <c r="G62" s="13" t="s">
        <v>277</v>
      </c>
      <c r="H62" s="13" t="s">
        <v>278</v>
      </c>
      <c r="I62" s="11"/>
      <c r="J62" s="8" t="s">
        <v>3</v>
      </c>
    </row>
    <row r="63" spans="1:10" ht="45" x14ac:dyDescent="0.25">
      <c r="A63" s="13">
        <v>61</v>
      </c>
      <c r="B63" s="13" t="s">
        <v>279</v>
      </c>
      <c r="C63" s="13" t="s">
        <v>38</v>
      </c>
      <c r="D63" s="13" t="s">
        <v>17</v>
      </c>
      <c r="E63" s="13" t="s">
        <v>280</v>
      </c>
      <c r="F63" s="13" t="s">
        <v>281</v>
      </c>
      <c r="G63" s="13" t="s">
        <v>282</v>
      </c>
      <c r="H63" s="13" t="s">
        <v>283</v>
      </c>
      <c r="I63" s="11"/>
      <c r="J63" s="8" t="s">
        <v>3</v>
      </c>
    </row>
    <row r="64" spans="1:10" ht="45" x14ac:dyDescent="0.25">
      <c r="A64" s="13">
        <v>62</v>
      </c>
      <c r="B64" s="13" t="s">
        <v>284</v>
      </c>
      <c r="C64" s="13" t="s">
        <v>38</v>
      </c>
      <c r="D64" s="13" t="s">
        <v>13</v>
      </c>
      <c r="E64" s="13" t="s">
        <v>285</v>
      </c>
      <c r="F64" s="13" t="s">
        <v>286</v>
      </c>
      <c r="G64" s="13" t="s">
        <v>287</v>
      </c>
      <c r="H64" s="13" t="s">
        <v>288</v>
      </c>
      <c r="I64" s="11"/>
      <c r="J64" s="8" t="s">
        <v>3</v>
      </c>
    </row>
  </sheetData>
  <conditionalFormatting sqref="J3:J64">
    <cfRule type="cellIs" dxfId="1" priority="1" operator="equal">
      <formula>"Not Tested"</formula>
    </cfRule>
    <cfRule type="cellIs" dxfId="0" priority="2" operator="equal">
      <formula>"Fail"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Enums!$B$2:$B$4</xm:f>
          </x14:formula1>
          <xm:sqref>J3:J64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0"/>
  <sheetViews>
    <sheetView workbookViewId="0">
      <selection activeCell="B5" sqref="B5"/>
    </sheetView>
  </sheetViews>
  <sheetFormatPr defaultColWidth="11.42578125" defaultRowHeight="15" x14ac:dyDescent="0.25"/>
  <sheetData>
    <row r="2" spans="2:2" x14ac:dyDescent="0.25">
      <c r="B2" t="s">
        <v>14</v>
      </c>
    </row>
    <row r="3" spans="2:2" x14ac:dyDescent="0.25">
      <c r="B3" t="s">
        <v>15</v>
      </c>
    </row>
    <row r="4" spans="2:2" x14ac:dyDescent="0.25">
      <c r="B4" t="s">
        <v>3</v>
      </c>
    </row>
    <row r="8" spans="2:2" x14ac:dyDescent="0.25">
      <c r="B8" t="s">
        <v>16</v>
      </c>
    </row>
    <row r="9" spans="2:2" x14ac:dyDescent="0.25">
      <c r="B9" t="s">
        <v>13</v>
      </c>
    </row>
    <row r="10" spans="2:2" x14ac:dyDescent="0.25">
      <c r="B10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8C8DDAE8BD44A422697963F06C45" ma:contentTypeVersion="6" ma:contentTypeDescription="Create a new document." ma:contentTypeScope="" ma:versionID="b6816e004dbb89c674e51f5647972552">
  <xsd:schema xmlns:xsd="http://www.w3.org/2001/XMLSchema" xmlns:xs="http://www.w3.org/2001/XMLSchema" xmlns:p="http://schemas.microsoft.com/office/2006/metadata/properties" xmlns:ns2="2b02348f-b4e3-458c-83fc-9e90db0f8029" targetNamespace="http://schemas.microsoft.com/office/2006/metadata/properties" ma:root="true" ma:fieldsID="e6418ca14ac9ee17b8bbf6df78e0c223" ns2:_="">
    <xsd:import namespace="2b02348f-b4e3-458c-83fc-9e90db0f8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348f-b4e3-458c-83fc-9e90db0f8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DB6385-31B2-4574-9AA4-BF13B563A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348f-b4e3-458c-83fc-9e90db0f8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9B513B-8BED-4B59-B224-E0A2C6173D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DB72C7-DF0B-4E18-8174-00AB852E6FB4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2b02348f-b4e3-458c-83fc-9e90db0f8029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Test Report</vt:lpstr>
      <vt:lpstr>Test Cases &amp; Results</vt:lpstr>
      <vt:lpstr>Enums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2025-08-12T15:56:45Z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</Properties>
</file>